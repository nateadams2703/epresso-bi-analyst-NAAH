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82dc3be5ff257e/Documents/Projects/Active/Excel 2024/01_Disk/data/ExcelB/Module/"/>
    </mc:Choice>
  </mc:AlternateContent>
  <xr:revisionPtr revIDLastSave="6" documentId="14_{E70CB476-1FB5-45FF-AB9D-38274C12E8A7}" xr6:coauthVersionLast="47" xr6:coauthVersionMax="47" xr10:uidLastSave="{B7208E12-265D-4E5E-BFFA-9D3BB7EC7600}"/>
  <bookViews>
    <workbookView xWindow="-120" yWindow="-120" windowWidth="29040" windowHeight="15720" xr2:uid="{00000000-000D-0000-FFFF-FFFF00000000}"/>
  </bookViews>
  <sheets>
    <sheet name="Documentation" sheetId="3" r:id="rId1"/>
    <sheet name="Survey Results" sheetId="1" r:id="rId2"/>
    <sheet name="Terms and Definitio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4" i="1"/>
</calcChain>
</file>

<file path=xl/sharedStrings.xml><?xml version="1.0" encoding="utf-8"?>
<sst xmlns="http://schemas.openxmlformats.org/spreadsheetml/2006/main" count="226" uniqueCount="41">
  <si>
    <t>Survey ID</t>
  </si>
  <si>
    <t>Store ID</t>
  </si>
  <si>
    <t>Year</t>
  </si>
  <si>
    <t>Satisfaction</t>
  </si>
  <si>
    <t>Interest</t>
  </si>
  <si>
    <t>Question #</t>
  </si>
  <si>
    <t>Question Text</t>
  </si>
  <si>
    <t>Date</t>
  </si>
  <si>
    <t>Purpose</t>
  </si>
  <si>
    <t>Author</t>
  </si>
  <si>
    <t>Y2025</t>
  </si>
  <si>
    <t>Y2029</t>
  </si>
  <si>
    <t>Y2027</t>
  </si>
  <si>
    <t>Y2028</t>
  </si>
  <si>
    <t>Y2026</t>
  </si>
  <si>
    <t>SH00</t>
  </si>
  <si>
    <t>SH01</t>
  </si>
  <si>
    <t>SH02</t>
  </si>
  <si>
    <t>SH03</t>
  </si>
  <si>
    <t>SH04</t>
  </si>
  <si>
    <t>SH05</t>
  </si>
  <si>
    <t>SH06</t>
  </si>
  <si>
    <t>SH07</t>
  </si>
  <si>
    <t>SH08</t>
  </si>
  <si>
    <t>SH09</t>
  </si>
  <si>
    <t>SH10</t>
  </si>
  <si>
    <t>SH11</t>
  </si>
  <si>
    <t>SH12</t>
  </si>
  <si>
    <t>SH13</t>
  </si>
  <si>
    <t>SH14</t>
  </si>
  <si>
    <t>SH15</t>
  </si>
  <si>
    <t>SH16</t>
  </si>
  <si>
    <t>SH17</t>
  </si>
  <si>
    <t>SH18</t>
  </si>
  <si>
    <t>SH19</t>
  </si>
  <si>
    <t>SH20</t>
  </si>
  <si>
    <t>E-Presso Market Survey</t>
  </si>
  <si>
    <t>How satistified were you with your shopping experience at your local E-Presso store? 
(0 - 5 scale)</t>
  </si>
  <si>
    <t>How much do you value quality espresso products?
(0 - 100 scale)</t>
  </si>
  <si>
    <t>E-Presso  Market Survey</t>
  </si>
  <si>
    <t>To track market survey results for E-Presso stores on an annual basis.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</si>
</sst>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1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34">
    <xf numFmtId="0" fontId="0" fillId="0" borderId="0" xfId="0"/>
    <xf numFmtId="0" fontId="1" fillId="0" borderId="0" xfId="1" applyAlignment="1"/>
    <xf numFmtId="0" fontId="4" fillId="0" borderId="0" xfId="1" applyFont="1" applyAlignment="1"/>
    <xf numFmtId="0" fontId="5" fillId="0" borderId="0" xfId="0" applyFont="1"/>
    <xf numFmtId="0" fontId="6" fillId="2" borderId="3" xfId="2" applyFont="1" applyBorder="1" applyAlignment="1">
      <alignment vertical="top"/>
    </xf>
    <xf numFmtId="165" fontId="5" fillId="0" borderId="3" xfId="0" applyNumberFormat="1" applyFont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 wrapText="1"/>
    </xf>
    <xf numFmtId="0" fontId="2" fillId="3" borderId="6" xfId="0" applyFont="1" applyFill="1" applyBorder="1" applyAlignment="1">
      <alignment vertical="top"/>
    </xf>
    <xf numFmtId="0" fontId="2" fillId="3" borderId="7" xfId="0" applyFont="1" applyFill="1" applyBorder="1" applyAlignment="1">
      <alignment vertical="top" wrapText="1"/>
    </xf>
    <xf numFmtId="0" fontId="0" fillId="4" borderId="6" xfId="0" applyFill="1" applyBorder="1" applyAlignment="1">
      <alignment vertical="top"/>
    </xf>
    <xf numFmtId="0" fontId="0" fillId="4" borderId="7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0" borderId="0" xfId="1" applyAlignment="1">
      <alignment horizontal="left"/>
    </xf>
    <xf numFmtId="0" fontId="2" fillId="3" borderId="2" xfId="0" applyFont="1" applyFill="1" applyBorder="1"/>
    <xf numFmtId="0" fontId="2" fillId="3" borderId="1" xfId="0" applyFont="1" applyFill="1" applyBorder="1"/>
    <xf numFmtId="0" fontId="2" fillId="3" borderId="10" xfId="0" applyFont="1" applyFill="1" applyBorder="1"/>
    <xf numFmtId="0" fontId="0" fillId="4" borderId="2" xfId="0" applyFont="1" applyFill="1" applyBorder="1"/>
    <xf numFmtId="0" fontId="0" fillId="4" borderId="2" xfId="0" applyFont="1" applyFill="1" applyBorder="1" applyAlignment="1">
      <alignment wrapText="1"/>
    </xf>
    <xf numFmtId="0" fontId="0" fillId="4" borderId="1" xfId="0" applyFont="1" applyFill="1" applyBorder="1"/>
    <xf numFmtId="0" fontId="0" fillId="4" borderId="10" xfId="0" applyFont="1" applyFill="1" applyBorder="1"/>
    <xf numFmtId="0" fontId="0" fillId="0" borderId="2" xfId="0" applyFont="1" applyBorder="1" applyAlignment="1">
      <alignment wrapText="1"/>
    </xf>
    <xf numFmtId="0" fontId="0" fillId="0" borderId="1" xfId="0" applyFont="1" applyBorder="1"/>
    <xf numFmtId="0" fontId="0" fillId="0" borderId="10" xfId="0" applyFont="1" applyBorder="1"/>
    <xf numFmtId="164" fontId="0" fillId="0" borderId="1" xfId="0" applyNumberFormat="1" applyFont="1" applyBorder="1"/>
    <xf numFmtId="164" fontId="0" fillId="4" borderId="1" xfId="0" applyNumberFormat="1" applyFont="1" applyFill="1" applyBorder="1"/>
    <xf numFmtId="164" fontId="0" fillId="0" borderId="1" xfId="0" applyNumberFormat="1" applyFont="1" applyBorder="1" applyAlignment="1">
      <alignment wrapText="1"/>
    </xf>
    <xf numFmtId="0" fontId="0" fillId="0" borderId="12" xfId="0" applyFont="1" applyBorder="1"/>
    <xf numFmtId="164" fontId="0" fillId="4" borderId="1" xfId="0" applyNumberFormat="1" applyFont="1" applyFill="1" applyBorder="1" applyAlignment="1">
      <alignment wrapText="1"/>
    </xf>
    <xf numFmtId="0" fontId="0" fillId="4" borderId="12" xfId="0" applyFont="1" applyFill="1" applyBorder="1"/>
    <xf numFmtId="0" fontId="0" fillId="4" borderId="8" xfId="0" applyFont="1" applyFill="1" applyBorder="1" applyAlignment="1">
      <alignment wrapText="1"/>
    </xf>
    <xf numFmtId="0" fontId="0" fillId="4" borderId="9" xfId="0" applyFont="1" applyFill="1" applyBorder="1"/>
    <xf numFmtId="164" fontId="0" fillId="4" borderId="9" xfId="0" applyNumberFormat="1" applyFont="1" applyFill="1" applyBorder="1" applyAlignment="1">
      <alignment wrapText="1"/>
    </xf>
    <xf numFmtId="0" fontId="0" fillId="4" borderId="11" xfId="0" applyFont="1" applyFill="1" applyBorder="1"/>
  </cellXfs>
  <cellStyles count="3">
    <cellStyle name="Accent2" xfId="2" builtinId="33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20" zoomScaleNormal="120" workbookViewId="0"/>
  </sheetViews>
  <sheetFormatPr defaultRowHeight="15" x14ac:dyDescent="0.25"/>
  <cols>
    <col min="1" max="1" width="10.7109375" style="3" customWidth="1"/>
    <col min="2" max="2" width="34.140625" style="3" customWidth="1"/>
    <col min="3" max="16384" width="9.140625" style="3"/>
  </cols>
  <sheetData>
    <row r="1" spans="1:2" ht="23.25" x14ac:dyDescent="0.35">
      <c r="A1" s="1" t="s">
        <v>39</v>
      </c>
      <c r="B1" s="2"/>
    </row>
    <row r="3" spans="1:2" x14ac:dyDescent="0.25">
      <c r="A3" s="4" t="s">
        <v>9</v>
      </c>
      <c r="B3" s="12"/>
    </row>
    <row r="4" spans="1:2" x14ac:dyDescent="0.25">
      <c r="A4" s="4" t="s">
        <v>7</v>
      </c>
      <c r="B4" s="5"/>
    </row>
    <row r="5" spans="1:2" ht="30" x14ac:dyDescent="0.25">
      <c r="A5" s="4" t="s">
        <v>8</v>
      </c>
      <c r="B5" s="1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8"/>
  <sheetViews>
    <sheetView zoomScale="120" zoomScaleNormal="120" workbookViewId="0"/>
  </sheetViews>
  <sheetFormatPr defaultRowHeight="15" x14ac:dyDescent="0.25"/>
  <cols>
    <col min="1" max="1" width="11.140625" customWidth="1"/>
    <col min="2" max="2" width="12.5703125" customWidth="1"/>
    <col min="3" max="3" width="12.42578125" customWidth="1"/>
    <col min="4" max="4" width="14.85546875" customWidth="1"/>
    <col min="5" max="5" width="16.140625" customWidth="1"/>
  </cols>
  <sheetData>
    <row r="1" spans="1:5" ht="23.25" x14ac:dyDescent="0.35">
      <c r="A1" s="1" t="s">
        <v>36</v>
      </c>
      <c r="B1" s="1"/>
    </row>
    <row r="3" spans="1:5" x14ac:dyDescent="0.25">
      <c r="A3" s="14" t="s">
        <v>0</v>
      </c>
      <c r="B3" s="15" t="s">
        <v>1</v>
      </c>
      <c r="C3" s="15" t="s">
        <v>2</v>
      </c>
      <c r="D3" s="15" t="s">
        <v>3</v>
      </c>
      <c r="E3" s="16" t="s">
        <v>4</v>
      </c>
    </row>
    <row r="4" spans="1:5" x14ac:dyDescent="0.25">
      <c r="A4" s="17" t="str">
        <f>"SH"&amp;RIGHT('Survey Results'!$B4,2)&amp;"_"&amp;RIGHT('Survey Results'!$C4,2)</f>
        <v>SH00_25</v>
      </c>
      <c r="B4" s="18" t="s">
        <v>15</v>
      </c>
      <c r="C4" s="19" t="s">
        <v>10</v>
      </c>
      <c r="D4" s="19"/>
      <c r="E4" s="20"/>
    </row>
    <row r="5" spans="1:5" x14ac:dyDescent="0.25">
      <c r="A5" s="22" t="str">
        <f>"SH"&amp;RIGHT('Survey Results'!$B5,2)&amp;"_"&amp;RIGHT('Survey Results'!$C5,2)</f>
        <v>SH00_26</v>
      </c>
      <c r="B5" s="21" t="s">
        <v>15</v>
      </c>
      <c r="C5" s="22" t="s">
        <v>14</v>
      </c>
      <c r="D5" s="22"/>
      <c r="E5" s="23"/>
    </row>
    <row r="6" spans="1:5" x14ac:dyDescent="0.25">
      <c r="A6" s="17" t="str">
        <f>"SH"&amp;RIGHT('Survey Results'!$B6,2)&amp;"_"&amp;RIGHT('Survey Results'!$C6,2)</f>
        <v>SH00_27</v>
      </c>
      <c r="B6" s="18" t="s">
        <v>15</v>
      </c>
      <c r="C6" s="19" t="s">
        <v>12</v>
      </c>
      <c r="D6" s="19"/>
      <c r="E6" s="20"/>
    </row>
    <row r="7" spans="1:5" x14ac:dyDescent="0.25">
      <c r="A7" s="22" t="str">
        <f>"SH"&amp;RIGHT('Survey Results'!$B7,2)&amp;"_"&amp;RIGHT('Survey Results'!$C7,2)</f>
        <v>SH00_28</v>
      </c>
      <c r="B7" s="21" t="s">
        <v>15</v>
      </c>
      <c r="C7" s="22" t="s">
        <v>13</v>
      </c>
      <c r="D7" s="22"/>
      <c r="E7" s="23"/>
    </row>
    <row r="8" spans="1:5" x14ac:dyDescent="0.25">
      <c r="A8" s="17" t="str">
        <f>"SH"&amp;RIGHT('Survey Results'!$B8,2)&amp;"_"&amp;RIGHT('Survey Results'!$C8,2)</f>
        <v>SH00_29</v>
      </c>
      <c r="B8" s="18" t="s">
        <v>15</v>
      </c>
      <c r="C8" s="19" t="s">
        <v>11</v>
      </c>
      <c r="D8" s="19"/>
      <c r="E8" s="20"/>
    </row>
    <row r="9" spans="1:5" x14ac:dyDescent="0.25">
      <c r="A9" s="22" t="str">
        <f>"SH"&amp;RIGHT('Survey Results'!$B9,2)&amp;"_"&amp;RIGHT('Survey Results'!$C9,2)</f>
        <v>SH01_25</v>
      </c>
      <c r="B9" s="21" t="s">
        <v>16</v>
      </c>
      <c r="C9" s="22" t="s">
        <v>10</v>
      </c>
      <c r="D9" s="24">
        <v>4.0999999999999996</v>
      </c>
      <c r="E9" s="23">
        <v>89</v>
      </c>
    </row>
    <row r="10" spans="1:5" x14ac:dyDescent="0.25">
      <c r="A10" s="17" t="str">
        <f>"SH"&amp;RIGHT('Survey Results'!$B10,2)&amp;"_"&amp;RIGHT('Survey Results'!$C10,2)</f>
        <v>SH01_26</v>
      </c>
      <c r="B10" s="18" t="s">
        <v>16</v>
      </c>
      <c r="C10" s="19" t="s">
        <v>14</v>
      </c>
      <c r="D10" s="25">
        <v>4.7</v>
      </c>
      <c r="E10" s="20">
        <v>92</v>
      </c>
    </row>
    <row r="11" spans="1:5" x14ac:dyDescent="0.25">
      <c r="A11" s="22" t="str">
        <f>"SH"&amp;RIGHT('Survey Results'!$B11,2)&amp;"_"&amp;RIGHT('Survey Results'!$C11,2)</f>
        <v>SH01_27</v>
      </c>
      <c r="B11" s="21" t="s">
        <v>16</v>
      </c>
      <c r="C11" s="22" t="s">
        <v>12</v>
      </c>
      <c r="D11" s="24">
        <v>4.3</v>
      </c>
      <c r="E11" s="23">
        <v>90</v>
      </c>
    </row>
    <row r="12" spans="1:5" x14ac:dyDescent="0.25">
      <c r="A12" s="17" t="str">
        <f>"SH"&amp;RIGHT('Survey Results'!$B12,2)&amp;"_"&amp;RIGHT('Survey Results'!$C12,2)</f>
        <v>SH01_28</v>
      </c>
      <c r="B12" s="18" t="s">
        <v>16</v>
      </c>
      <c r="C12" s="19" t="s">
        <v>13</v>
      </c>
      <c r="D12" s="25">
        <v>4.9000000000000004</v>
      </c>
      <c r="E12" s="20">
        <v>87</v>
      </c>
    </row>
    <row r="13" spans="1:5" x14ac:dyDescent="0.25">
      <c r="A13" s="22" t="str">
        <f>"SH"&amp;RIGHT('Survey Results'!$B13,2)&amp;"_"&amp;RIGHT('Survey Results'!$C13,2)</f>
        <v>SH01_29</v>
      </c>
      <c r="B13" s="21" t="s">
        <v>16</v>
      </c>
      <c r="C13" s="22" t="s">
        <v>11</v>
      </c>
      <c r="D13" s="26">
        <v>4.8</v>
      </c>
      <c r="E13" s="27">
        <v>86</v>
      </c>
    </row>
    <row r="14" spans="1:5" x14ac:dyDescent="0.25">
      <c r="A14" s="17" t="str">
        <f>"SH"&amp;RIGHT('Survey Results'!$B14,2)&amp;"_"&amp;RIGHT('Survey Results'!$C14,2)</f>
        <v>SH02_25</v>
      </c>
      <c r="B14" s="18" t="s">
        <v>17</v>
      </c>
      <c r="C14" s="19" t="s">
        <v>10</v>
      </c>
      <c r="D14" s="25">
        <v>3.3000000000000003</v>
      </c>
      <c r="E14" s="20">
        <v>85</v>
      </c>
    </row>
    <row r="15" spans="1:5" x14ac:dyDescent="0.25">
      <c r="A15" s="22" t="str">
        <f>"SH"&amp;RIGHT('Survey Results'!$B15,2)&amp;"_"&amp;RIGHT('Survey Results'!$C15,2)</f>
        <v>SH02_26</v>
      </c>
      <c r="B15" s="21" t="s">
        <v>17</v>
      </c>
      <c r="C15" s="22" t="s">
        <v>14</v>
      </c>
      <c r="D15" s="24">
        <v>3.8</v>
      </c>
      <c r="E15" s="23">
        <v>91</v>
      </c>
    </row>
    <row r="16" spans="1:5" x14ac:dyDescent="0.25">
      <c r="A16" s="17" t="str">
        <f>"SH"&amp;RIGHT('Survey Results'!$B16,2)&amp;"_"&amp;RIGHT('Survey Results'!$C16,2)</f>
        <v>SH02_27</v>
      </c>
      <c r="B16" s="18" t="s">
        <v>17</v>
      </c>
      <c r="C16" s="19" t="s">
        <v>12</v>
      </c>
      <c r="D16" s="25">
        <v>2.5</v>
      </c>
      <c r="E16" s="20">
        <v>94</v>
      </c>
    </row>
    <row r="17" spans="1:5" x14ac:dyDescent="0.25">
      <c r="A17" s="22" t="str">
        <f>"SH"&amp;RIGHT('Survey Results'!$B17,2)&amp;"_"&amp;RIGHT('Survey Results'!$C17,2)</f>
        <v>SH02_28</v>
      </c>
      <c r="B17" s="21" t="s">
        <v>17</v>
      </c>
      <c r="C17" s="22" t="s">
        <v>13</v>
      </c>
      <c r="D17" s="24">
        <v>2.1999999999999997</v>
      </c>
      <c r="E17" s="23">
        <v>62</v>
      </c>
    </row>
    <row r="18" spans="1:5" x14ac:dyDescent="0.25">
      <c r="A18" s="17" t="str">
        <f>"SH"&amp;RIGHT('Survey Results'!$B18,2)&amp;"_"&amp;RIGHT('Survey Results'!$C18,2)</f>
        <v>SH02_29</v>
      </c>
      <c r="B18" s="18" t="s">
        <v>17</v>
      </c>
      <c r="C18" s="19" t="s">
        <v>11</v>
      </c>
      <c r="D18" s="28">
        <v>2.4</v>
      </c>
      <c r="E18" s="29">
        <v>79</v>
      </c>
    </row>
    <row r="19" spans="1:5" x14ac:dyDescent="0.25">
      <c r="A19" s="22" t="str">
        <f>"SH"&amp;RIGHT('Survey Results'!$B19,2)&amp;"_"&amp;RIGHT('Survey Results'!$C19,2)</f>
        <v>SH03_25</v>
      </c>
      <c r="B19" s="21" t="s">
        <v>18</v>
      </c>
      <c r="C19" s="22" t="s">
        <v>10</v>
      </c>
      <c r="D19" s="24">
        <v>3.6</v>
      </c>
      <c r="E19" s="23">
        <v>78</v>
      </c>
    </row>
    <row r="20" spans="1:5" x14ac:dyDescent="0.25">
      <c r="A20" s="17" t="str">
        <f>"SH"&amp;RIGHT('Survey Results'!$B20,2)&amp;"_"&amp;RIGHT('Survey Results'!$C20,2)</f>
        <v>SH03_26</v>
      </c>
      <c r="B20" s="18" t="s">
        <v>18</v>
      </c>
      <c r="C20" s="19" t="s">
        <v>14</v>
      </c>
      <c r="D20" s="25">
        <v>4.4000000000000004</v>
      </c>
      <c r="E20" s="20">
        <v>78</v>
      </c>
    </row>
    <row r="21" spans="1:5" x14ac:dyDescent="0.25">
      <c r="A21" s="22" t="str">
        <f>"SH"&amp;RIGHT('Survey Results'!$B21,2)&amp;"_"&amp;RIGHT('Survey Results'!$C21,2)</f>
        <v>SH03_27</v>
      </c>
      <c r="B21" s="21" t="s">
        <v>18</v>
      </c>
      <c r="C21" s="22" t="s">
        <v>12</v>
      </c>
      <c r="D21" s="24">
        <v>4.3</v>
      </c>
      <c r="E21" s="23">
        <v>83</v>
      </c>
    </row>
    <row r="22" spans="1:5" x14ac:dyDescent="0.25">
      <c r="A22" s="17" t="str">
        <f>"SH"&amp;RIGHT('Survey Results'!$B22,2)&amp;"_"&amp;RIGHT('Survey Results'!$C22,2)</f>
        <v>SH03_28</v>
      </c>
      <c r="B22" s="18" t="s">
        <v>18</v>
      </c>
      <c r="C22" s="19" t="s">
        <v>13</v>
      </c>
      <c r="D22" s="25">
        <v>3.9</v>
      </c>
      <c r="E22" s="20">
        <v>87</v>
      </c>
    </row>
    <row r="23" spans="1:5" x14ac:dyDescent="0.25">
      <c r="A23" s="22" t="str">
        <f>"SH"&amp;RIGHT('Survey Results'!$B23,2)&amp;"_"&amp;RIGHT('Survey Results'!$C23,2)</f>
        <v>SH03_29</v>
      </c>
      <c r="B23" s="21" t="s">
        <v>18</v>
      </c>
      <c r="C23" s="22" t="s">
        <v>11</v>
      </c>
      <c r="D23" s="26">
        <v>4.3000000000000007</v>
      </c>
      <c r="E23" s="27">
        <v>78</v>
      </c>
    </row>
    <row r="24" spans="1:5" x14ac:dyDescent="0.25">
      <c r="A24" s="17" t="str">
        <f>"SH"&amp;RIGHT('Survey Results'!$B24,2)&amp;"_"&amp;RIGHT('Survey Results'!$C24,2)</f>
        <v>SH04_25</v>
      </c>
      <c r="B24" s="18" t="s">
        <v>19</v>
      </c>
      <c r="C24" s="19" t="s">
        <v>10</v>
      </c>
      <c r="D24" s="25">
        <v>4.8000000000000007</v>
      </c>
      <c r="E24" s="20">
        <v>82</v>
      </c>
    </row>
    <row r="25" spans="1:5" x14ac:dyDescent="0.25">
      <c r="A25" s="22" t="str">
        <f>"SH"&amp;RIGHT('Survey Results'!$B25,2)&amp;"_"&amp;RIGHT('Survey Results'!$C25,2)</f>
        <v>SH04_26</v>
      </c>
      <c r="B25" s="21" t="s">
        <v>19</v>
      </c>
      <c r="C25" s="22" t="s">
        <v>14</v>
      </c>
      <c r="D25" s="24">
        <v>4.2</v>
      </c>
      <c r="E25" s="23">
        <v>78</v>
      </c>
    </row>
    <row r="26" spans="1:5" x14ac:dyDescent="0.25">
      <c r="A26" s="17" t="str">
        <f>"SH"&amp;RIGHT('Survey Results'!$B26,2)&amp;"_"&amp;RIGHT('Survey Results'!$C26,2)</f>
        <v>SH04_27</v>
      </c>
      <c r="B26" s="18" t="s">
        <v>19</v>
      </c>
      <c r="C26" s="19" t="s">
        <v>12</v>
      </c>
      <c r="D26" s="25">
        <v>4.5999999999999996</v>
      </c>
      <c r="E26" s="20">
        <v>71</v>
      </c>
    </row>
    <row r="27" spans="1:5" x14ac:dyDescent="0.25">
      <c r="A27" s="22" t="str">
        <f>"SH"&amp;RIGHT('Survey Results'!$B27,2)&amp;"_"&amp;RIGHT('Survey Results'!$C27,2)</f>
        <v>SH04_28</v>
      </c>
      <c r="B27" s="21" t="s">
        <v>19</v>
      </c>
      <c r="C27" s="22" t="s">
        <v>13</v>
      </c>
      <c r="D27" s="24">
        <v>4.8</v>
      </c>
      <c r="E27" s="23">
        <v>74</v>
      </c>
    </row>
    <row r="28" spans="1:5" x14ac:dyDescent="0.25">
      <c r="A28" s="17" t="str">
        <f>"SH"&amp;RIGHT('Survey Results'!$B28,2)&amp;"_"&amp;RIGHT('Survey Results'!$C28,2)</f>
        <v>SH04_29</v>
      </c>
      <c r="B28" s="18" t="s">
        <v>19</v>
      </c>
      <c r="C28" s="19" t="s">
        <v>11</v>
      </c>
      <c r="D28" s="28">
        <v>4.9000000000000004</v>
      </c>
      <c r="E28" s="29">
        <v>66</v>
      </c>
    </row>
    <row r="29" spans="1:5" x14ac:dyDescent="0.25">
      <c r="A29" s="22" t="str">
        <f>"SH"&amp;RIGHT('Survey Results'!$B29,2)&amp;"_"&amp;RIGHT('Survey Results'!$C29,2)</f>
        <v>SH05_25</v>
      </c>
      <c r="B29" s="21" t="s">
        <v>20</v>
      </c>
      <c r="C29" s="22" t="s">
        <v>10</v>
      </c>
      <c r="D29" s="24">
        <v>3.5</v>
      </c>
      <c r="E29" s="23">
        <v>76</v>
      </c>
    </row>
    <row r="30" spans="1:5" x14ac:dyDescent="0.25">
      <c r="A30" s="17" t="str">
        <f>"SH"&amp;RIGHT('Survey Results'!$B30,2)&amp;"_"&amp;RIGHT('Survey Results'!$C30,2)</f>
        <v>SH05_26</v>
      </c>
      <c r="B30" s="18" t="s">
        <v>20</v>
      </c>
      <c r="C30" s="19" t="s">
        <v>14</v>
      </c>
      <c r="D30" s="25">
        <v>4.0999999999999996</v>
      </c>
      <c r="E30" s="20">
        <v>80</v>
      </c>
    </row>
    <row r="31" spans="1:5" x14ac:dyDescent="0.25">
      <c r="A31" s="22" t="str">
        <f>"SH"&amp;RIGHT('Survey Results'!$B31,2)&amp;"_"&amp;RIGHT('Survey Results'!$C31,2)</f>
        <v>SH05_27</v>
      </c>
      <c r="B31" s="21" t="s">
        <v>20</v>
      </c>
      <c r="C31" s="22" t="s">
        <v>12</v>
      </c>
      <c r="D31" s="24">
        <v>3.9</v>
      </c>
      <c r="E31" s="23">
        <v>90</v>
      </c>
    </row>
    <row r="32" spans="1:5" x14ac:dyDescent="0.25">
      <c r="A32" s="17" t="str">
        <f>"SH"&amp;RIGHT('Survey Results'!$B32,2)&amp;"_"&amp;RIGHT('Survey Results'!$C32,2)</f>
        <v>SH05_28</v>
      </c>
      <c r="B32" s="18" t="s">
        <v>20</v>
      </c>
      <c r="C32" s="19" t="s">
        <v>13</v>
      </c>
      <c r="D32" s="25">
        <v>3.1999999999999997</v>
      </c>
      <c r="E32" s="20">
        <v>83</v>
      </c>
    </row>
    <row r="33" spans="1:5" x14ac:dyDescent="0.25">
      <c r="A33" s="22" t="str">
        <f>"SH"&amp;RIGHT('Survey Results'!$B33,2)&amp;"_"&amp;RIGHT('Survey Results'!$C33,2)</f>
        <v>SH05_29</v>
      </c>
      <c r="B33" s="21" t="s">
        <v>20</v>
      </c>
      <c r="C33" s="22" t="s">
        <v>11</v>
      </c>
      <c r="D33" s="26">
        <v>4</v>
      </c>
      <c r="E33" s="27">
        <v>71</v>
      </c>
    </row>
    <row r="34" spans="1:5" x14ac:dyDescent="0.25">
      <c r="A34" s="17" t="str">
        <f>"SH"&amp;RIGHT('Survey Results'!$B34,2)&amp;"_"&amp;RIGHT('Survey Results'!$C34,2)</f>
        <v>SH06_25</v>
      </c>
      <c r="B34" s="18" t="s">
        <v>21</v>
      </c>
      <c r="C34" s="19" t="s">
        <v>10</v>
      </c>
      <c r="D34" s="25">
        <v>1</v>
      </c>
      <c r="E34" s="20">
        <v>88</v>
      </c>
    </row>
    <row r="35" spans="1:5" x14ac:dyDescent="0.25">
      <c r="A35" s="22" t="str">
        <f>"SH"&amp;RIGHT('Survey Results'!$B35,2)&amp;"_"&amp;RIGHT('Survey Results'!$C35,2)</f>
        <v>SH06_26</v>
      </c>
      <c r="B35" s="21" t="s">
        <v>21</v>
      </c>
      <c r="C35" s="22" t="s">
        <v>14</v>
      </c>
      <c r="D35" s="24">
        <v>1.1000000000000001</v>
      </c>
      <c r="E35" s="23">
        <v>86</v>
      </c>
    </row>
    <row r="36" spans="1:5" x14ac:dyDescent="0.25">
      <c r="A36" s="17" t="str">
        <f>"SH"&amp;RIGHT('Survey Results'!$B36,2)&amp;"_"&amp;RIGHT('Survey Results'!$C36,2)</f>
        <v>SH06_27</v>
      </c>
      <c r="B36" s="18" t="s">
        <v>21</v>
      </c>
      <c r="C36" s="19" t="s">
        <v>12</v>
      </c>
      <c r="D36" s="25">
        <v>0.70000000000000007</v>
      </c>
      <c r="E36" s="20">
        <v>85</v>
      </c>
    </row>
    <row r="37" spans="1:5" x14ac:dyDescent="0.25">
      <c r="A37" s="22" t="str">
        <f>"SH"&amp;RIGHT('Survey Results'!$B37,2)&amp;"_"&amp;RIGHT('Survey Results'!$C37,2)</f>
        <v>SH06_28</v>
      </c>
      <c r="B37" s="21" t="s">
        <v>21</v>
      </c>
      <c r="C37" s="22" t="s">
        <v>13</v>
      </c>
      <c r="D37" s="24">
        <v>0.8</v>
      </c>
      <c r="E37" s="23">
        <v>81</v>
      </c>
    </row>
    <row r="38" spans="1:5" x14ac:dyDescent="0.25">
      <c r="A38" s="17" t="str">
        <f>"SH"&amp;RIGHT('Survey Results'!$B38,2)&amp;"_"&amp;RIGHT('Survey Results'!$C38,2)</f>
        <v>SH06_29</v>
      </c>
      <c r="B38" s="18" t="s">
        <v>21</v>
      </c>
      <c r="C38" s="19" t="s">
        <v>11</v>
      </c>
      <c r="D38" s="28">
        <v>1.3</v>
      </c>
      <c r="E38" s="29">
        <v>75</v>
      </c>
    </row>
    <row r="39" spans="1:5" x14ac:dyDescent="0.25">
      <c r="A39" s="22" t="str">
        <f>"SH"&amp;RIGHT('Survey Results'!$B39,2)&amp;"_"&amp;RIGHT('Survey Results'!$C39,2)</f>
        <v>SH07_25</v>
      </c>
      <c r="B39" s="21" t="s">
        <v>22</v>
      </c>
      <c r="C39" s="22" t="s">
        <v>10</v>
      </c>
      <c r="D39" s="24">
        <v>2.5</v>
      </c>
      <c r="E39" s="23">
        <v>83</v>
      </c>
    </row>
    <row r="40" spans="1:5" x14ac:dyDescent="0.25">
      <c r="A40" s="17" t="str">
        <f>"SH"&amp;RIGHT('Survey Results'!$B40,2)&amp;"_"&amp;RIGHT('Survey Results'!$C40,2)</f>
        <v>SH07_26</v>
      </c>
      <c r="B40" s="18" t="s">
        <v>22</v>
      </c>
      <c r="C40" s="19" t="s">
        <v>14</v>
      </c>
      <c r="D40" s="25">
        <v>2.4</v>
      </c>
      <c r="E40" s="20">
        <v>86</v>
      </c>
    </row>
    <row r="41" spans="1:5" x14ac:dyDescent="0.25">
      <c r="A41" s="22" t="str">
        <f>"SH"&amp;RIGHT('Survey Results'!$B41,2)&amp;"_"&amp;RIGHT('Survey Results'!$C41,2)</f>
        <v>SH07_27</v>
      </c>
      <c r="B41" s="21" t="s">
        <v>22</v>
      </c>
      <c r="C41" s="22" t="s">
        <v>12</v>
      </c>
      <c r="D41" s="24">
        <v>1.2</v>
      </c>
      <c r="E41" s="23">
        <v>88</v>
      </c>
    </row>
    <row r="42" spans="1:5" x14ac:dyDescent="0.25">
      <c r="A42" s="17" t="str">
        <f>"SH"&amp;RIGHT('Survey Results'!$B42,2)&amp;"_"&amp;RIGHT('Survey Results'!$C42,2)</f>
        <v>SH07_28</v>
      </c>
      <c r="B42" s="18" t="s">
        <v>22</v>
      </c>
      <c r="C42" s="19" t="s">
        <v>13</v>
      </c>
      <c r="D42" s="25">
        <v>2</v>
      </c>
      <c r="E42" s="20">
        <v>94</v>
      </c>
    </row>
    <row r="43" spans="1:5" x14ac:dyDescent="0.25">
      <c r="A43" s="22" t="str">
        <f>"SH"&amp;RIGHT('Survey Results'!$B43,2)&amp;"_"&amp;RIGHT('Survey Results'!$C43,2)</f>
        <v>SH07_29</v>
      </c>
      <c r="B43" s="21" t="s">
        <v>22</v>
      </c>
      <c r="C43" s="22" t="s">
        <v>11</v>
      </c>
      <c r="D43" s="26">
        <v>2.1999999999999997</v>
      </c>
      <c r="E43" s="27">
        <v>83</v>
      </c>
    </row>
    <row r="44" spans="1:5" x14ac:dyDescent="0.25">
      <c r="A44" s="17" t="str">
        <f>"SH"&amp;RIGHT('Survey Results'!$B44,2)&amp;"_"&amp;RIGHT('Survey Results'!$C44,2)</f>
        <v>SH08_25</v>
      </c>
      <c r="B44" s="18" t="s">
        <v>23</v>
      </c>
      <c r="C44" s="19" t="s">
        <v>10</v>
      </c>
      <c r="D44" s="25">
        <v>2.5</v>
      </c>
      <c r="E44" s="20">
        <v>89</v>
      </c>
    </row>
    <row r="45" spans="1:5" x14ac:dyDescent="0.25">
      <c r="A45" s="22" t="str">
        <f>"SH"&amp;RIGHT('Survey Results'!$B45,2)&amp;"_"&amp;RIGHT('Survey Results'!$C45,2)</f>
        <v>SH08_26</v>
      </c>
      <c r="B45" s="21" t="s">
        <v>23</v>
      </c>
      <c r="C45" s="22" t="s">
        <v>14</v>
      </c>
      <c r="D45" s="24">
        <v>2.1</v>
      </c>
      <c r="E45" s="23">
        <v>87</v>
      </c>
    </row>
    <row r="46" spans="1:5" x14ac:dyDescent="0.25">
      <c r="A46" s="17" t="str">
        <f>"SH"&amp;RIGHT('Survey Results'!$B46,2)&amp;"_"&amp;RIGHT('Survey Results'!$C46,2)</f>
        <v>SH08_27</v>
      </c>
      <c r="B46" s="18" t="s">
        <v>23</v>
      </c>
      <c r="C46" s="19" t="s">
        <v>12</v>
      </c>
      <c r="D46" s="25">
        <v>3.4</v>
      </c>
      <c r="E46" s="20">
        <v>89</v>
      </c>
    </row>
    <row r="47" spans="1:5" x14ac:dyDescent="0.25">
      <c r="A47" s="22" t="str">
        <f>"SH"&amp;RIGHT('Survey Results'!$B47,2)&amp;"_"&amp;RIGHT('Survey Results'!$C47,2)</f>
        <v>SH08_28</v>
      </c>
      <c r="B47" s="21" t="s">
        <v>23</v>
      </c>
      <c r="C47" s="22" t="s">
        <v>13</v>
      </c>
      <c r="D47" s="24">
        <v>3.7</v>
      </c>
      <c r="E47" s="23">
        <v>87</v>
      </c>
    </row>
    <row r="48" spans="1:5" x14ac:dyDescent="0.25">
      <c r="A48" s="17" t="str">
        <f>"SH"&amp;RIGHT('Survey Results'!$B48,2)&amp;"_"&amp;RIGHT('Survey Results'!$C48,2)</f>
        <v>SH08_29</v>
      </c>
      <c r="B48" s="18" t="s">
        <v>23</v>
      </c>
      <c r="C48" s="19" t="s">
        <v>11</v>
      </c>
      <c r="D48" s="28">
        <v>3.5</v>
      </c>
      <c r="E48" s="29">
        <v>85</v>
      </c>
    </row>
    <row r="49" spans="1:5" x14ac:dyDescent="0.25">
      <c r="A49" s="22" t="str">
        <f>"SH"&amp;RIGHT('Survey Results'!$B49,2)&amp;"_"&amp;RIGHT('Survey Results'!$C49,2)</f>
        <v>SH09_25</v>
      </c>
      <c r="B49" s="21" t="s">
        <v>24</v>
      </c>
      <c r="C49" s="22" t="s">
        <v>10</v>
      </c>
      <c r="D49" s="24">
        <v>4.8999999999999995</v>
      </c>
      <c r="E49" s="23">
        <v>97</v>
      </c>
    </row>
    <row r="50" spans="1:5" x14ac:dyDescent="0.25">
      <c r="A50" s="17" t="str">
        <f>"SH"&amp;RIGHT('Survey Results'!$B50,2)&amp;"_"&amp;RIGHT('Survey Results'!$C50,2)</f>
        <v>SH09_26</v>
      </c>
      <c r="B50" s="18" t="s">
        <v>24</v>
      </c>
      <c r="C50" s="19" t="s">
        <v>14</v>
      </c>
      <c r="D50" s="25">
        <v>4.5</v>
      </c>
      <c r="E50" s="20">
        <v>90</v>
      </c>
    </row>
    <row r="51" spans="1:5" x14ac:dyDescent="0.25">
      <c r="A51" s="22" t="str">
        <f>"SH"&amp;RIGHT('Survey Results'!$B51,2)&amp;"_"&amp;RIGHT('Survey Results'!$C51,2)</f>
        <v>SH09_27</v>
      </c>
      <c r="B51" s="21" t="s">
        <v>24</v>
      </c>
      <c r="C51" s="22" t="s">
        <v>12</v>
      </c>
      <c r="D51" s="24">
        <v>4.8000000000000007</v>
      </c>
      <c r="E51" s="23">
        <v>82</v>
      </c>
    </row>
    <row r="52" spans="1:5" x14ac:dyDescent="0.25">
      <c r="A52" s="17" t="str">
        <f>"SH"&amp;RIGHT('Survey Results'!$B52,2)&amp;"_"&amp;RIGHT('Survey Results'!$C52,2)</f>
        <v>SH09_28</v>
      </c>
      <c r="B52" s="18" t="s">
        <v>24</v>
      </c>
      <c r="C52" s="19" t="s">
        <v>13</v>
      </c>
      <c r="D52" s="25">
        <v>5</v>
      </c>
      <c r="E52" s="20">
        <v>83</v>
      </c>
    </row>
    <row r="53" spans="1:5" x14ac:dyDescent="0.25">
      <c r="A53" s="22" t="str">
        <f>"SH"&amp;RIGHT('Survey Results'!$B53,2)&amp;"_"&amp;RIGHT('Survey Results'!$C53,2)</f>
        <v>SH09_29</v>
      </c>
      <c r="B53" s="21" t="s">
        <v>24</v>
      </c>
      <c r="C53" s="22" t="s">
        <v>11</v>
      </c>
      <c r="D53" s="26">
        <v>4.8000000000000007</v>
      </c>
      <c r="E53" s="27">
        <v>74</v>
      </c>
    </row>
    <row r="54" spans="1:5" x14ac:dyDescent="0.25">
      <c r="A54" s="17" t="str">
        <f>"SH"&amp;RIGHT('Survey Results'!$B54,2)&amp;"_"&amp;RIGHT('Survey Results'!$C54,2)</f>
        <v>SH10_25</v>
      </c>
      <c r="B54" s="18" t="s">
        <v>25</v>
      </c>
      <c r="C54" s="19" t="s">
        <v>10</v>
      </c>
      <c r="D54" s="25">
        <v>4.8</v>
      </c>
      <c r="E54" s="20">
        <v>85</v>
      </c>
    </row>
    <row r="55" spans="1:5" x14ac:dyDescent="0.25">
      <c r="A55" s="22" t="str">
        <f>"SH"&amp;RIGHT('Survey Results'!$B55,2)&amp;"_"&amp;RIGHT('Survey Results'!$C55,2)</f>
        <v>SH10_26</v>
      </c>
      <c r="B55" s="21" t="s">
        <v>25</v>
      </c>
      <c r="C55" s="22" t="s">
        <v>14</v>
      </c>
      <c r="D55" s="24">
        <v>4.6999999999999993</v>
      </c>
      <c r="E55" s="23">
        <v>88</v>
      </c>
    </row>
    <row r="56" spans="1:5" x14ac:dyDescent="0.25">
      <c r="A56" s="17" t="str">
        <f>"SH"&amp;RIGHT('Survey Results'!$B56,2)&amp;"_"&amp;RIGHT('Survey Results'!$C56,2)</f>
        <v>SH10_27</v>
      </c>
      <c r="B56" s="18" t="s">
        <v>25</v>
      </c>
      <c r="C56" s="19" t="s">
        <v>12</v>
      </c>
      <c r="D56" s="25">
        <v>4.9000000000000004</v>
      </c>
      <c r="E56" s="20">
        <v>94</v>
      </c>
    </row>
    <row r="57" spans="1:5" x14ac:dyDescent="0.25">
      <c r="A57" s="22" t="str">
        <f>"SH"&amp;RIGHT('Survey Results'!$B57,2)&amp;"_"&amp;RIGHT('Survey Results'!$C57,2)</f>
        <v>SH10_28</v>
      </c>
      <c r="B57" s="21" t="s">
        <v>25</v>
      </c>
      <c r="C57" s="22" t="s">
        <v>13</v>
      </c>
      <c r="D57" s="24">
        <v>4.8999999999999995</v>
      </c>
      <c r="E57" s="23">
        <v>83</v>
      </c>
    </row>
    <row r="58" spans="1:5" x14ac:dyDescent="0.25">
      <c r="A58" s="17" t="str">
        <f>"SH"&amp;RIGHT('Survey Results'!$B58,2)&amp;"_"&amp;RIGHT('Survey Results'!$C58,2)</f>
        <v>SH10_29</v>
      </c>
      <c r="B58" s="18" t="s">
        <v>25</v>
      </c>
      <c r="C58" s="19" t="s">
        <v>11</v>
      </c>
      <c r="D58" s="28">
        <v>5</v>
      </c>
      <c r="E58" s="29">
        <v>86</v>
      </c>
    </row>
    <row r="59" spans="1:5" x14ac:dyDescent="0.25">
      <c r="A59" s="22" t="str">
        <f>"SH"&amp;RIGHT('Survey Results'!$B59,2)&amp;"_"&amp;RIGHT('Survey Results'!$C59,2)</f>
        <v>SH11_25</v>
      </c>
      <c r="B59" s="21" t="s">
        <v>26</v>
      </c>
      <c r="C59" s="22" t="s">
        <v>10</v>
      </c>
      <c r="D59" s="24">
        <v>2.4</v>
      </c>
      <c r="E59" s="23">
        <v>80</v>
      </c>
    </row>
    <row r="60" spans="1:5" x14ac:dyDescent="0.25">
      <c r="A60" s="17" t="str">
        <f>"SH"&amp;RIGHT('Survey Results'!$B60,2)&amp;"_"&amp;RIGHT('Survey Results'!$C60,2)</f>
        <v>SH11_26</v>
      </c>
      <c r="B60" s="18" t="s">
        <v>26</v>
      </c>
      <c r="C60" s="19" t="s">
        <v>14</v>
      </c>
      <c r="D60" s="25">
        <v>2.8</v>
      </c>
      <c r="E60" s="20">
        <v>98</v>
      </c>
    </row>
    <row r="61" spans="1:5" x14ac:dyDescent="0.25">
      <c r="A61" s="22" t="str">
        <f>"SH"&amp;RIGHT('Survey Results'!$B61,2)&amp;"_"&amp;RIGHT('Survey Results'!$C61,2)</f>
        <v>SH11_27</v>
      </c>
      <c r="B61" s="21" t="s">
        <v>26</v>
      </c>
      <c r="C61" s="22" t="s">
        <v>12</v>
      </c>
      <c r="D61" s="24">
        <v>3.4</v>
      </c>
      <c r="E61" s="23">
        <v>99</v>
      </c>
    </row>
    <row r="62" spans="1:5" x14ac:dyDescent="0.25">
      <c r="A62" s="17" t="str">
        <f>"SH"&amp;RIGHT('Survey Results'!$B62,2)&amp;"_"&amp;RIGHT('Survey Results'!$C62,2)</f>
        <v>SH11_28</v>
      </c>
      <c r="B62" s="18" t="s">
        <v>26</v>
      </c>
      <c r="C62" s="19" t="s">
        <v>13</v>
      </c>
      <c r="D62" s="25">
        <v>3.6999999999999997</v>
      </c>
      <c r="E62" s="20">
        <v>83</v>
      </c>
    </row>
    <row r="63" spans="1:5" x14ac:dyDescent="0.25">
      <c r="A63" s="22" t="str">
        <f>"SH"&amp;RIGHT('Survey Results'!$B63,2)&amp;"_"&amp;RIGHT('Survey Results'!$C63,2)</f>
        <v>SH11_29</v>
      </c>
      <c r="B63" s="21" t="s">
        <v>26</v>
      </c>
      <c r="C63" s="22" t="s">
        <v>11</v>
      </c>
      <c r="D63" s="26">
        <v>3.4</v>
      </c>
      <c r="E63" s="27">
        <v>88</v>
      </c>
    </row>
    <row r="64" spans="1:5" x14ac:dyDescent="0.25">
      <c r="A64" s="17" t="str">
        <f>"SH"&amp;RIGHT('Survey Results'!$B64,2)&amp;"_"&amp;RIGHT('Survey Results'!$C64,2)</f>
        <v>SH12_25</v>
      </c>
      <c r="B64" s="18" t="s">
        <v>27</v>
      </c>
      <c r="C64" s="19" t="s">
        <v>10</v>
      </c>
      <c r="D64" s="25">
        <v>1.0999999999999999</v>
      </c>
      <c r="E64" s="20">
        <v>78</v>
      </c>
    </row>
    <row r="65" spans="1:5" x14ac:dyDescent="0.25">
      <c r="A65" s="22" t="str">
        <f>"SH"&amp;RIGHT('Survey Results'!$B65,2)&amp;"_"&amp;RIGHT('Survey Results'!$C65,2)</f>
        <v>SH12_26</v>
      </c>
      <c r="B65" s="21" t="s">
        <v>27</v>
      </c>
      <c r="C65" s="22" t="s">
        <v>14</v>
      </c>
      <c r="D65" s="24">
        <v>1.4000000000000001</v>
      </c>
      <c r="E65" s="23">
        <v>83</v>
      </c>
    </row>
    <row r="66" spans="1:5" x14ac:dyDescent="0.25">
      <c r="A66" s="17" t="str">
        <f>"SH"&amp;RIGHT('Survey Results'!$B66,2)&amp;"_"&amp;RIGHT('Survey Results'!$C66,2)</f>
        <v>SH12_27</v>
      </c>
      <c r="B66" s="18" t="s">
        <v>27</v>
      </c>
      <c r="C66" s="19" t="s">
        <v>12</v>
      </c>
      <c r="D66" s="25">
        <v>0.7</v>
      </c>
      <c r="E66" s="20">
        <v>79</v>
      </c>
    </row>
    <row r="67" spans="1:5" x14ac:dyDescent="0.25">
      <c r="A67" s="22" t="str">
        <f>"SH"&amp;RIGHT('Survey Results'!$B67,2)&amp;"_"&amp;RIGHT('Survey Results'!$C67,2)</f>
        <v>SH12_28</v>
      </c>
      <c r="B67" s="21" t="s">
        <v>27</v>
      </c>
      <c r="C67" s="22" t="s">
        <v>13</v>
      </c>
      <c r="D67" s="24">
        <v>0.4</v>
      </c>
      <c r="E67" s="23">
        <v>84</v>
      </c>
    </row>
    <row r="68" spans="1:5" x14ac:dyDescent="0.25">
      <c r="A68" s="17" t="str">
        <f>"SH"&amp;RIGHT('Survey Results'!$B68,2)&amp;"_"&amp;RIGHT('Survey Results'!$C68,2)</f>
        <v>SH12_29</v>
      </c>
      <c r="B68" s="18" t="s">
        <v>27</v>
      </c>
      <c r="C68" s="19" t="s">
        <v>11</v>
      </c>
      <c r="D68" s="28">
        <v>1.2</v>
      </c>
      <c r="E68" s="29">
        <v>85</v>
      </c>
    </row>
    <row r="69" spans="1:5" x14ac:dyDescent="0.25">
      <c r="A69" s="22" t="str">
        <f>"SH"&amp;RIGHT('Survey Results'!$B69,2)&amp;"_"&amp;RIGHT('Survey Results'!$C69,2)</f>
        <v>SH13_25</v>
      </c>
      <c r="B69" s="21" t="s">
        <v>28</v>
      </c>
      <c r="C69" s="22" t="s">
        <v>10</v>
      </c>
      <c r="D69" s="24">
        <v>4.3</v>
      </c>
      <c r="E69" s="23">
        <v>88</v>
      </c>
    </row>
    <row r="70" spans="1:5" x14ac:dyDescent="0.25">
      <c r="A70" s="17" t="str">
        <f>"SH"&amp;RIGHT('Survey Results'!$B70,2)&amp;"_"&amp;RIGHT('Survey Results'!$C70,2)</f>
        <v>SH13_26</v>
      </c>
      <c r="B70" s="18" t="s">
        <v>28</v>
      </c>
      <c r="C70" s="19" t="s">
        <v>14</v>
      </c>
      <c r="D70" s="25">
        <v>4.3999999999999995</v>
      </c>
      <c r="E70" s="20">
        <v>90</v>
      </c>
    </row>
    <row r="71" spans="1:5" x14ac:dyDescent="0.25">
      <c r="A71" s="22" t="str">
        <f>"SH"&amp;RIGHT('Survey Results'!$B71,2)&amp;"_"&amp;RIGHT('Survey Results'!$C71,2)</f>
        <v>SH13_27</v>
      </c>
      <c r="B71" s="21" t="s">
        <v>28</v>
      </c>
      <c r="C71" s="22" t="s">
        <v>12</v>
      </c>
      <c r="D71" s="24">
        <v>4.1999999999999993</v>
      </c>
      <c r="E71" s="23">
        <v>89</v>
      </c>
    </row>
    <row r="72" spans="1:5" x14ac:dyDescent="0.25">
      <c r="A72" s="17" t="str">
        <f>"SH"&amp;RIGHT('Survey Results'!$B72,2)&amp;"_"&amp;RIGHT('Survey Results'!$C72,2)</f>
        <v>SH13_28</v>
      </c>
      <c r="B72" s="18" t="s">
        <v>28</v>
      </c>
      <c r="C72" s="19" t="s">
        <v>13</v>
      </c>
      <c r="D72" s="25">
        <v>4.5</v>
      </c>
      <c r="E72" s="20">
        <v>83</v>
      </c>
    </row>
    <row r="73" spans="1:5" x14ac:dyDescent="0.25">
      <c r="A73" s="22" t="str">
        <f>"SH"&amp;RIGHT('Survey Results'!$B73,2)&amp;"_"&amp;RIGHT('Survey Results'!$C73,2)</f>
        <v>SH13_29</v>
      </c>
      <c r="B73" s="21" t="s">
        <v>28</v>
      </c>
      <c r="C73" s="22" t="s">
        <v>11</v>
      </c>
      <c r="D73" s="26">
        <v>4.5999999999999996</v>
      </c>
      <c r="E73" s="27">
        <v>82</v>
      </c>
    </row>
    <row r="74" spans="1:5" x14ac:dyDescent="0.25">
      <c r="A74" s="17" t="str">
        <f>"SH"&amp;RIGHT('Survey Results'!$B74,2)&amp;"_"&amp;RIGHT('Survey Results'!$C74,2)</f>
        <v>SH14_25</v>
      </c>
      <c r="B74" s="18" t="s">
        <v>29</v>
      </c>
      <c r="C74" s="19" t="s">
        <v>10</v>
      </c>
      <c r="D74" s="25">
        <v>4.8</v>
      </c>
      <c r="E74" s="20">
        <v>81</v>
      </c>
    </row>
    <row r="75" spans="1:5" x14ac:dyDescent="0.25">
      <c r="A75" s="22" t="str">
        <f>"SH"&amp;RIGHT('Survey Results'!$B75,2)&amp;"_"&amp;RIGHT('Survey Results'!$C75,2)</f>
        <v>SH14_26</v>
      </c>
      <c r="B75" s="21" t="s">
        <v>29</v>
      </c>
      <c r="C75" s="22" t="s">
        <v>14</v>
      </c>
      <c r="D75" s="24">
        <v>4.2</v>
      </c>
      <c r="E75" s="23">
        <v>87</v>
      </c>
    </row>
    <row r="76" spans="1:5" x14ac:dyDescent="0.25">
      <c r="A76" s="17" t="str">
        <f>"SH"&amp;RIGHT('Survey Results'!$B76,2)&amp;"_"&amp;RIGHT('Survey Results'!$C76,2)</f>
        <v>SH14_27</v>
      </c>
      <c r="B76" s="18" t="s">
        <v>29</v>
      </c>
      <c r="C76" s="19" t="s">
        <v>12</v>
      </c>
      <c r="D76" s="25">
        <v>4.1999999999999993</v>
      </c>
      <c r="E76" s="20">
        <v>85</v>
      </c>
    </row>
    <row r="77" spans="1:5" x14ac:dyDescent="0.25">
      <c r="A77" s="22" t="str">
        <f>"SH"&amp;RIGHT('Survey Results'!$B77,2)&amp;"_"&amp;RIGHT('Survey Results'!$C77,2)</f>
        <v>SH14_28</v>
      </c>
      <c r="B77" s="21" t="s">
        <v>29</v>
      </c>
      <c r="C77" s="22" t="s">
        <v>13</v>
      </c>
      <c r="D77" s="24">
        <v>4.3999999999999995</v>
      </c>
      <c r="E77" s="23">
        <v>90</v>
      </c>
    </row>
    <row r="78" spans="1:5" x14ac:dyDescent="0.25">
      <c r="A78" s="17" t="str">
        <f>"SH"&amp;RIGHT('Survey Results'!$B78,2)&amp;"_"&amp;RIGHT('Survey Results'!$C78,2)</f>
        <v>SH14_29</v>
      </c>
      <c r="B78" s="18" t="s">
        <v>29</v>
      </c>
      <c r="C78" s="19" t="s">
        <v>11</v>
      </c>
      <c r="D78" s="28">
        <v>4.5</v>
      </c>
      <c r="E78" s="29">
        <v>81</v>
      </c>
    </row>
    <row r="79" spans="1:5" x14ac:dyDescent="0.25">
      <c r="A79" s="22" t="str">
        <f>"SH"&amp;RIGHT('Survey Results'!$B79,2)&amp;"_"&amp;RIGHT('Survey Results'!$C79,2)</f>
        <v>SH15_25</v>
      </c>
      <c r="B79" s="21" t="s">
        <v>30</v>
      </c>
      <c r="C79" s="22" t="s">
        <v>10</v>
      </c>
      <c r="D79" s="24">
        <v>4.8000000000000007</v>
      </c>
      <c r="E79" s="23">
        <v>75</v>
      </c>
    </row>
    <row r="80" spans="1:5" x14ac:dyDescent="0.25">
      <c r="A80" s="17" t="str">
        <f>"SH"&amp;RIGHT('Survey Results'!$B80,2)&amp;"_"&amp;RIGHT('Survey Results'!$C80,2)</f>
        <v>SH15_26</v>
      </c>
      <c r="B80" s="18" t="s">
        <v>30</v>
      </c>
      <c r="C80" s="19" t="s">
        <v>14</v>
      </c>
      <c r="D80" s="25">
        <v>4.8999999999999995</v>
      </c>
      <c r="E80" s="20">
        <v>85</v>
      </c>
    </row>
    <row r="81" spans="1:5" x14ac:dyDescent="0.25">
      <c r="A81" s="22" t="str">
        <f>"SH"&amp;RIGHT('Survey Results'!$B81,2)&amp;"_"&amp;RIGHT('Survey Results'!$C81,2)</f>
        <v>SH15_27</v>
      </c>
      <c r="B81" s="21" t="s">
        <v>30</v>
      </c>
      <c r="C81" s="22" t="s">
        <v>12</v>
      </c>
      <c r="D81" s="24">
        <v>5</v>
      </c>
      <c r="E81" s="23">
        <v>93</v>
      </c>
    </row>
    <row r="82" spans="1:5" x14ac:dyDescent="0.25">
      <c r="A82" s="17" t="str">
        <f>"SH"&amp;RIGHT('Survey Results'!$B82,2)&amp;"_"&amp;RIGHT('Survey Results'!$C82,2)</f>
        <v>SH15_28</v>
      </c>
      <c r="B82" s="18" t="s">
        <v>30</v>
      </c>
      <c r="C82" s="19" t="s">
        <v>13</v>
      </c>
      <c r="D82" s="25">
        <v>4.8000000000000007</v>
      </c>
      <c r="E82" s="20">
        <v>89</v>
      </c>
    </row>
    <row r="83" spans="1:5" x14ac:dyDescent="0.25">
      <c r="A83" s="22" t="str">
        <f>"SH"&amp;RIGHT('Survey Results'!$B83,2)&amp;"_"&amp;RIGHT('Survey Results'!$C83,2)</f>
        <v>SH15_29</v>
      </c>
      <c r="B83" s="21" t="s">
        <v>30</v>
      </c>
      <c r="C83" s="22" t="s">
        <v>11</v>
      </c>
      <c r="D83" s="26">
        <v>5</v>
      </c>
      <c r="E83" s="27">
        <v>84</v>
      </c>
    </row>
    <row r="84" spans="1:5" x14ac:dyDescent="0.25">
      <c r="A84" s="17" t="str">
        <f>"SH"&amp;RIGHT('Survey Results'!$B84,2)&amp;"_"&amp;RIGHT('Survey Results'!$C84,2)</f>
        <v>SH16_25</v>
      </c>
      <c r="B84" s="18" t="s">
        <v>31</v>
      </c>
      <c r="C84" s="19" t="s">
        <v>10</v>
      </c>
      <c r="D84" s="25">
        <v>3.4</v>
      </c>
      <c r="E84" s="20">
        <v>87</v>
      </c>
    </row>
    <row r="85" spans="1:5" x14ac:dyDescent="0.25">
      <c r="A85" s="22" t="str">
        <f>"SH"&amp;RIGHT('Survey Results'!$B85,2)&amp;"_"&amp;RIGHT('Survey Results'!$C85,2)</f>
        <v>SH16_26</v>
      </c>
      <c r="B85" s="21" t="s">
        <v>31</v>
      </c>
      <c r="C85" s="22" t="s">
        <v>14</v>
      </c>
      <c r="D85" s="24">
        <v>4</v>
      </c>
      <c r="E85" s="23">
        <v>92</v>
      </c>
    </row>
    <row r="86" spans="1:5" x14ac:dyDescent="0.25">
      <c r="A86" s="17" t="str">
        <f>"SH"&amp;RIGHT('Survey Results'!$B86,2)&amp;"_"&amp;RIGHT('Survey Results'!$C86,2)</f>
        <v>SH16_27</v>
      </c>
      <c r="B86" s="18" t="s">
        <v>31</v>
      </c>
      <c r="C86" s="19" t="s">
        <v>12</v>
      </c>
      <c r="D86" s="25">
        <v>4.2</v>
      </c>
      <c r="E86" s="20">
        <v>83</v>
      </c>
    </row>
    <row r="87" spans="1:5" x14ac:dyDescent="0.25">
      <c r="A87" s="22" t="str">
        <f>"SH"&amp;RIGHT('Survey Results'!$B87,2)&amp;"_"&amp;RIGHT('Survey Results'!$C87,2)</f>
        <v>SH16_28</v>
      </c>
      <c r="B87" s="21" t="s">
        <v>31</v>
      </c>
      <c r="C87" s="22" t="s">
        <v>13</v>
      </c>
      <c r="D87" s="24">
        <v>4.3000000000000007</v>
      </c>
      <c r="E87" s="23">
        <v>87</v>
      </c>
    </row>
    <row r="88" spans="1:5" x14ac:dyDescent="0.25">
      <c r="A88" s="17" t="str">
        <f>"SH"&amp;RIGHT('Survey Results'!$B88,2)&amp;"_"&amp;RIGHT('Survey Results'!$C88,2)</f>
        <v>SH16_29</v>
      </c>
      <c r="B88" s="18" t="s">
        <v>31</v>
      </c>
      <c r="C88" s="19" t="s">
        <v>11</v>
      </c>
      <c r="D88" s="28">
        <v>4.8000000000000007</v>
      </c>
      <c r="E88" s="29">
        <v>89</v>
      </c>
    </row>
    <row r="89" spans="1:5" x14ac:dyDescent="0.25">
      <c r="A89" s="22" t="str">
        <f>"SH"&amp;RIGHT('Survey Results'!$B89,2)&amp;"_"&amp;RIGHT('Survey Results'!$C89,2)</f>
        <v>SH17_25</v>
      </c>
      <c r="B89" s="21" t="s">
        <v>32</v>
      </c>
      <c r="C89" s="22" t="s">
        <v>10</v>
      </c>
      <c r="D89" s="24">
        <v>4.1000000000000005</v>
      </c>
      <c r="E89" s="23">
        <v>81</v>
      </c>
    </row>
    <row r="90" spans="1:5" x14ac:dyDescent="0.25">
      <c r="A90" s="17" t="str">
        <f>"SH"&amp;RIGHT('Survey Results'!$B90,2)&amp;"_"&amp;RIGHT('Survey Results'!$C90,2)</f>
        <v>SH17_26</v>
      </c>
      <c r="B90" s="18" t="s">
        <v>32</v>
      </c>
      <c r="C90" s="19" t="s">
        <v>14</v>
      </c>
      <c r="D90" s="25">
        <v>3.9999999999999996</v>
      </c>
      <c r="E90" s="20">
        <v>87</v>
      </c>
    </row>
    <row r="91" spans="1:5" x14ac:dyDescent="0.25">
      <c r="A91" s="22" t="str">
        <f>"SH"&amp;RIGHT('Survey Results'!$B91,2)&amp;"_"&amp;RIGHT('Survey Results'!$C91,2)</f>
        <v>SH17_27</v>
      </c>
      <c r="B91" s="21" t="s">
        <v>32</v>
      </c>
      <c r="C91" s="22" t="s">
        <v>12</v>
      </c>
      <c r="D91" s="24">
        <v>4.3</v>
      </c>
      <c r="E91" s="23">
        <v>93</v>
      </c>
    </row>
    <row r="92" spans="1:5" x14ac:dyDescent="0.25">
      <c r="A92" s="17" t="str">
        <f>"SH"&amp;RIGHT('Survey Results'!$B92,2)&amp;"_"&amp;RIGHT('Survey Results'!$C92,2)</f>
        <v>SH17_28</v>
      </c>
      <c r="B92" s="18" t="s">
        <v>32</v>
      </c>
      <c r="C92" s="19" t="s">
        <v>13</v>
      </c>
      <c r="D92" s="25">
        <v>4.1999999999999993</v>
      </c>
      <c r="E92" s="20">
        <v>88</v>
      </c>
    </row>
    <row r="93" spans="1:5" x14ac:dyDescent="0.25">
      <c r="A93" s="22" t="str">
        <f>"SH"&amp;RIGHT('Survey Results'!$B93,2)&amp;"_"&amp;RIGHT('Survey Results'!$C93,2)</f>
        <v>SH17_29</v>
      </c>
      <c r="B93" s="21" t="s">
        <v>32</v>
      </c>
      <c r="C93" s="22" t="s">
        <v>11</v>
      </c>
      <c r="D93" s="26">
        <v>4.4000000000000004</v>
      </c>
      <c r="E93" s="27">
        <v>85</v>
      </c>
    </row>
    <row r="94" spans="1:5" x14ac:dyDescent="0.25">
      <c r="A94" s="17" t="str">
        <f>"SH"&amp;RIGHT('Survey Results'!$B94,2)&amp;"_"&amp;RIGHT('Survey Results'!$C94,2)</f>
        <v>SH18_25</v>
      </c>
      <c r="B94" s="18" t="s">
        <v>33</v>
      </c>
      <c r="C94" s="19" t="s">
        <v>10</v>
      </c>
      <c r="D94" s="25">
        <v>1.3</v>
      </c>
      <c r="E94" s="20">
        <v>81</v>
      </c>
    </row>
    <row r="95" spans="1:5" x14ac:dyDescent="0.25">
      <c r="A95" s="22" t="str">
        <f>"SH"&amp;RIGHT('Survey Results'!$B95,2)&amp;"_"&amp;RIGHT('Survey Results'!$C95,2)</f>
        <v>SH18_26</v>
      </c>
      <c r="B95" s="21" t="s">
        <v>33</v>
      </c>
      <c r="C95" s="22" t="s">
        <v>14</v>
      </c>
      <c r="D95" s="24">
        <v>1.1000000000000001</v>
      </c>
      <c r="E95" s="23">
        <v>92</v>
      </c>
    </row>
    <row r="96" spans="1:5" x14ac:dyDescent="0.25">
      <c r="A96" s="17" t="str">
        <f>"SH"&amp;RIGHT('Survey Results'!$B96,2)&amp;"_"&amp;RIGHT('Survey Results'!$C96,2)</f>
        <v>SH18_27</v>
      </c>
      <c r="B96" s="18" t="s">
        <v>33</v>
      </c>
      <c r="C96" s="19" t="s">
        <v>12</v>
      </c>
      <c r="D96" s="25">
        <v>1.2999999999999998</v>
      </c>
      <c r="E96" s="20">
        <v>96</v>
      </c>
    </row>
    <row r="97" spans="1:5" x14ac:dyDescent="0.25">
      <c r="A97" s="22" t="str">
        <f>"SH"&amp;RIGHT('Survey Results'!$B97,2)&amp;"_"&amp;RIGHT('Survey Results'!$C97,2)</f>
        <v>SH18_28</v>
      </c>
      <c r="B97" s="21" t="s">
        <v>33</v>
      </c>
      <c r="C97" s="22" t="s">
        <v>13</v>
      </c>
      <c r="D97" s="24">
        <v>1.2</v>
      </c>
      <c r="E97" s="23">
        <v>94</v>
      </c>
    </row>
    <row r="98" spans="1:5" x14ac:dyDescent="0.25">
      <c r="A98" s="17" t="str">
        <f>"SH"&amp;RIGHT('Survey Results'!$B98,2)&amp;"_"&amp;RIGHT('Survey Results'!$C98,2)</f>
        <v>SH18_29</v>
      </c>
      <c r="B98" s="18" t="s">
        <v>33</v>
      </c>
      <c r="C98" s="19" t="s">
        <v>11</v>
      </c>
      <c r="D98" s="28">
        <v>1.4000000000000001</v>
      </c>
      <c r="E98" s="29">
        <v>81</v>
      </c>
    </row>
    <row r="99" spans="1:5" x14ac:dyDescent="0.25">
      <c r="A99" s="22" t="str">
        <f>"SH"&amp;RIGHT('Survey Results'!$B99,2)&amp;"_"&amp;RIGHT('Survey Results'!$C99,2)</f>
        <v>SH19_25</v>
      </c>
      <c r="B99" s="21" t="s">
        <v>34</v>
      </c>
      <c r="C99" s="22" t="s">
        <v>10</v>
      </c>
      <c r="D99" s="24">
        <v>1.8</v>
      </c>
      <c r="E99" s="23">
        <v>79</v>
      </c>
    </row>
    <row r="100" spans="1:5" x14ac:dyDescent="0.25">
      <c r="A100" s="17" t="str">
        <f>"SH"&amp;RIGHT('Survey Results'!$B100,2)&amp;"_"&amp;RIGHT('Survey Results'!$C100,2)</f>
        <v>SH19_26</v>
      </c>
      <c r="B100" s="18" t="s">
        <v>34</v>
      </c>
      <c r="C100" s="19" t="s">
        <v>14</v>
      </c>
      <c r="D100" s="25">
        <v>2.1</v>
      </c>
      <c r="E100" s="20">
        <v>89</v>
      </c>
    </row>
    <row r="101" spans="1:5" x14ac:dyDescent="0.25">
      <c r="A101" s="22" t="str">
        <f>"SH"&amp;RIGHT('Survey Results'!$B101,2)&amp;"_"&amp;RIGHT('Survey Results'!$C101,2)</f>
        <v>SH19_27</v>
      </c>
      <c r="B101" s="21" t="s">
        <v>34</v>
      </c>
      <c r="C101" s="22" t="s">
        <v>12</v>
      </c>
      <c r="D101" s="24">
        <v>2.6</v>
      </c>
      <c r="E101" s="23">
        <v>85</v>
      </c>
    </row>
    <row r="102" spans="1:5" x14ac:dyDescent="0.25">
      <c r="A102" s="17" t="str">
        <f>"SH"&amp;RIGHT('Survey Results'!$B102,2)&amp;"_"&amp;RIGHT('Survey Results'!$C102,2)</f>
        <v>SH19_28</v>
      </c>
      <c r="B102" s="18" t="s">
        <v>34</v>
      </c>
      <c r="C102" s="19" t="s">
        <v>13</v>
      </c>
      <c r="D102" s="25">
        <v>2.3000000000000003</v>
      </c>
      <c r="E102" s="20">
        <v>96</v>
      </c>
    </row>
    <row r="103" spans="1:5" x14ac:dyDescent="0.25">
      <c r="A103" s="22" t="str">
        <f>"SH"&amp;RIGHT('Survey Results'!$B103,2)&amp;"_"&amp;RIGHT('Survey Results'!$C103,2)</f>
        <v>SH19_29</v>
      </c>
      <c r="B103" s="21" t="s">
        <v>34</v>
      </c>
      <c r="C103" s="22" t="s">
        <v>11</v>
      </c>
      <c r="D103" s="26">
        <v>2.2999999999999998</v>
      </c>
      <c r="E103" s="27">
        <v>90</v>
      </c>
    </row>
    <row r="104" spans="1:5" x14ac:dyDescent="0.25">
      <c r="A104" s="17" t="str">
        <f>"SH"&amp;RIGHT('Survey Results'!$B104,2)&amp;"_"&amp;RIGHT('Survey Results'!$C104,2)</f>
        <v>SH20_25</v>
      </c>
      <c r="B104" s="18" t="s">
        <v>35</v>
      </c>
      <c r="C104" s="19" t="s">
        <v>10</v>
      </c>
      <c r="D104" s="25">
        <v>3.1999999999999997</v>
      </c>
      <c r="E104" s="20">
        <v>72</v>
      </c>
    </row>
    <row r="105" spans="1:5" x14ac:dyDescent="0.25">
      <c r="A105" s="22" t="str">
        <f>"SH"&amp;RIGHT('Survey Results'!$B105,2)&amp;"_"&amp;RIGHT('Survey Results'!$C105,2)</f>
        <v>SH20_26</v>
      </c>
      <c r="B105" s="21" t="s">
        <v>35</v>
      </c>
      <c r="C105" s="22" t="s">
        <v>14</v>
      </c>
      <c r="D105" s="24">
        <v>3</v>
      </c>
      <c r="E105" s="23">
        <v>90</v>
      </c>
    </row>
    <row r="106" spans="1:5" x14ac:dyDescent="0.25">
      <c r="A106" s="17" t="str">
        <f>"SH"&amp;RIGHT('Survey Results'!$B106,2)&amp;"_"&amp;RIGHT('Survey Results'!$C106,2)</f>
        <v>SH20_27</v>
      </c>
      <c r="B106" s="18" t="s">
        <v>35</v>
      </c>
      <c r="C106" s="19" t="s">
        <v>12</v>
      </c>
      <c r="D106" s="25">
        <v>2.9</v>
      </c>
      <c r="E106" s="20">
        <v>80</v>
      </c>
    </row>
    <row r="107" spans="1:5" x14ac:dyDescent="0.25">
      <c r="A107" s="22" t="str">
        <f>"SH"&amp;RIGHT('Survey Results'!$B107,2)&amp;"_"&amp;RIGHT('Survey Results'!$C107,2)</f>
        <v>SH20_28</v>
      </c>
      <c r="B107" s="21" t="s">
        <v>35</v>
      </c>
      <c r="C107" s="22" t="s">
        <v>13</v>
      </c>
      <c r="D107" s="24">
        <v>2.2999999999999998</v>
      </c>
      <c r="E107" s="23">
        <v>79</v>
      </c>
    </row>
    <row r="108" spans="1:5" x14ac:dyDescent="0.25">
      <c r="A108" s="17" t="str">
        <f>"SH"&amp;RIGHT('Survey Results'!$B108,2)&amp;"_"&amp;RIGHT('Survey Results'!$C108,2)</f>
        <v>SH20_29</v>
      </c>
      <c r="B108" s="30" t="s">
        <v>35</v>
      </c>
      <c r="C108" s="31" t="s">
        <v>11</v>
      </c>
      <c r="D108" s="32">
        <v>2.3000000000000003</v>
      </c>
      <c r="E108" s="33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20" zoomScaleNormal="120" workbookViewId="0">
      <selection sqref="A1:B1"/>
    </sheetView>
  </sheetViews>
  <sheetFormatPr defaultRowHeight="15" x14ac:dyDescent="0.25"/>
  <cols>
    <col min="1" max="1" width="10.7109375" customWidth="1"/>
    <col min="2" max="2" width="44.28515625" customWidth="1"/>
  </cols>
  <sheetData>
    <row r="1" spans="1:2" ht="23.25" x14ac:dyDescent="0.35">
      <c r="A1" s="13" t="s">
        <v>36</v>
      </c>
      <c r="B1" s="13"/>
    </row>
    <row r="3" spans="1:2" x14ac:dyDescent="0.25">
      <c r="A3" s="8" t="s">
        <v>5</v>
      </c>
      <c r="B3" s="9" t="s">
        <v>6</v>
      </c>
    </row>
    <row r="4" spans="1:2" ht="45" x14ac:dyDescent="0.25">
      <c r="A4" s="10">
        <v>1</v>
      </c>
      <c r="B4" s="11" t="s">
        <v>37</v>
      </c>
    </row>
    <row r="5" spans="1:2" ht="45" x14ac:dyDescent="0.25">
      <c r="A5" s="6">
        <v>2</v>
      </c>
      <c r="B5" s="7" t="s">
        <v>38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Documentation</vt:lpstr>
      <vt:lpstr>Survey Results</vt:lpstr>
      <vt:lpstr>Terms and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2019, Appendix B Case</dc:title>
  <dc:creator>Your Name</dc:creator>
  <cp:lastModifiedBy>Mr. Carey</cp:lastModifiedBy>
  <dcterms:created xsi:type="dcterms:W3CDTF">2017-09-19T01:19:31Z</dcterms:created>
  <dcterms:modified xsi:type="dcterms:W3CDTF">2024-05-31T22:11:28Z</dcterms:modified>
</cp:coreProperties>
</file>